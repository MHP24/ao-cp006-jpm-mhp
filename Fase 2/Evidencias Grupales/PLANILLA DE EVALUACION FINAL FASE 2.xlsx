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_fecifu\DUOC UC\2025-02\Capstone\Grupo 06\"/>
    </mc:Choice>
  </mc:AlternateContent>
  <xr:revisionPtr revIDLastSave="0" documentId="13_ncr:1_{8B3ED6DD-786D-44CF-AE26-68E6FCD31ABC}"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<sst xmlns="http://schemas.openxmlformats.org/spreadsheetml/2006/main" count="137" uniqueCount="78">
  <si>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</si>
  <si>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</si>
  <si>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</si>
  <si>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</si>
  <si>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</si>
  <si>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</si>
  <si>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</si>
  <si>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</si>
  <si>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</si>
  <si>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</si>
  <si>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</si>
  <si>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</si>
  <si>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</si>
  <si>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</si>
  <si>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</si>
  <si>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</si>
  <si>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</si>
  <si>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</si>
  <si>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</si>
  <si>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</si>
  <si>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</si>
  <si>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</si>
  <si>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</si>
  <si>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</si>
  <si>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</si>
  <si>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</si>
  <si>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</si>
  <si>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</si>
  <si>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</si>
  <si>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</si>
  <si>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</si>
  <si>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</si>
  <si>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</si>
  <si>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</si>
  <si>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</si>
  <si>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</si>
  <si>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</si>
  <si>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</si>
  <si>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</si>
  <si>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</si>
  <si>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</si>
  <si>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</si>
  <si>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</si>
  <si>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</si>
  <si>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</si>
  <si>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</si>
  <si>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</si>
  <si>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</si>
  <si>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</si>
  <si>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</si>
  <si>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</si>
  <si>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</si>
  <si>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</si>
  <si>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</si>
  <si>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</si>
  <si>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</si>
  <si>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</si>
  <si>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</si>
  <si>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</si>
  <si>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</si>
  <si>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</si>
  <si>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</si>
  <si>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</si>
  <si>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</si>
  <si>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</si>
  <si>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</si>
  <si>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</si>
  <si>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</si>
  <si>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</si>
  <si>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</si>
  <si>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</si>
  <si>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</si>
  <si>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</si>
  <si>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</si>
  <si>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</si>
  <si>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</si>
  <si>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HENRIQUEZ PACHECO MIGUEL MARTIN MAXIMILIANO</t>
  </si>
  <si>
    <t>MEDINA TRINCADO JUAN PABLO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</si>
</sst>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1"/>
      <color rgb="FF000000"/>
      <name val="Calibri"/>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7"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8" sqref="B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73" t="s">
        <v>76</v>
      </c>
      <c r="C4" s="5">
        <f>EVALUACION1!$C$21</f>
        <v>7</v>
      </c>
      <c r="D4" s="5">
        <f>$C$32</f>
        <v>7</v>
      </c>
      <c r="E4" s="6">
        <f>C4*C$2+D4*D$2</f>
        <v>7</v>
      </c>
      <c r="G4" s="1"/>
    </row>
    <row r="5" spans="1:11" x14ac:dyDescent="0.25">
      <c r="A5" s="4">
        <v>2</v>
      </c>
      <c r="B5" s="73" t="s">
        <v>77</v>
      </c>
      <c r="C5" s="5">
        <f>EVALUACION1!$C$21</f>
        <v>7</v>
      </c>
      <c r="D5" s="5">
        <f>C44</f>
        <v>7</v>
      </c>
      <c r="E5" s="6">
        <f t="shared" ref="E5:E6" si="0">C5*C$2+D5*D$2</f>
        <v>7</v>
      </c>
      <c r="G5" s="1"/>
    </row>
    <row r="6" spans="1:11" x14ac:dyDescent="0.25">
      <c r="A6" s="4">
        <v>3</v>
      </c>
      <c r="B6" s="27"/>
      <c r="C6" s="5">
        <f>EVALUACION1!$C$21</f>
        <v>7</v>
      </c>
      <c r="D6" s="5">
        <f>C55</f>
        <v>7</v>
      </c>
      <c r="E6" s="6">
        <f t="shared" si="0"/>
        <v>7</v>
      </c>
      <c r="G6" s="1"/>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5"/>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
      <c r="A21" s="54"/>
      <c r="B21" s="32" t="s">
        <v>67</v>
      </c>
      <c r="C21" s="20">
        <f>VLOOKUP(C20,ESCALA_IEP!A1:B152,2,FALSE)</f>
        <v>7</v>
      </c>
    </row>
    <row r="22" spans="1:11" ht="15.75" customHeight="1" x14ac:dyDescent="0.25"/>
    <row r="23" spans="1:11" ht="15.75" customHeight="1" x14ac:dyDescent="0.25"/>
    <row r="24" spans="1:11" ht="15.75" customHeight="1" x14ac:dyDescent="0.25">
      <c r="A24" s="64" t="s">
        <v>59</v>
      </c>
      <c r="B24" s="53" t="s">
        <v>68</v>
      </c>
      <c r="C24" s="56" t="str">
        <f>$B$4</f>
        <v>HENRIQUEZ PACHECO MIGUEL MARTIN MAXIMILIANO</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t="str">
        <f>B5</f>
        <v>MEDINA TRINCADO JUAN PABLO</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4" t="s">
        <v>59</v>
      </c>
      <c r="B47" s="53" t="s">
        <v>68</v>
      </c>
      <c r="C47" s="56">
        <f>B6</f>
        <v>0</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Felix Cifuentes Cid</cp:lastModifiedBy>
  <cp:revision/>
  <dcterms:created xsi:type="dcterms:W3CDTF">2023-08-07T04:08:01Z</dcterms:created>
  <dcterms:modified xsi:type="dcterms:W3CDTF">2025-11-25T16:35:38Z</dcterms:modified>
  <cp:category/>
  <cp:contentStatus/>
</cp:coreProperties>
</file>